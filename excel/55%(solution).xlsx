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4.76\써클기술-잉크기술\잉크기술\10.잉크DB\조색(22.01)\현재 C관\HEMA\피아\"/>
    </mc:Choice>
  </mc:AlternateContent>
  <bookViews>
    <workbookView xWindow="0" yWindow="0" windowWidth="28800" windowHeight="11535"/>
  </bookViews>
  <sheets>
    <sheet name="26년 신규 샘플" sheetId="1" r:id="rId1"/>
  </sheets>
  <definedNames>
    <definedName name="_xlnm.Print_Area" localSheetId="0">'26년 신규 샘플'!#REF!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M6" i="1" s="1"/>
  <c r="M5" i="1"/>
  <c r="L5" i="1"/>
  <c r="K5" i="1"/>
  <c r="P5" i="1" s="1"/>
  <c r="M4" i="1"/>
  <c r="L4" i="1"/>
  <c r="K4" i="1"/>
  <c r="P4" i="1" s="1"/>
  <c r="K6" i="1" l="1"/>
  <c r="P6" i="1" s="1"/>
  <c r="L6" i="1"/>
  <c r="N4" i="1"/>
  <c r="O4" i="1" s="1"/>
  <c r="N5" i="1"/>
  <c r="O5" i="1" s="1"/>
  <c r="N6" i="1" l="1"/>
  <c r="O6" i="1" s="1"/>
</calcChain>
</file>

<file path=xl/sharedStrings.xml><?xml version="1.0" encoding="utf-8"?>
<sst xmlns="http://schemas.openxmlformats.org/spreadsheetml/2006/main" count="25" uniqueCount="25">
  <si>
    <t>제품명</t>
    <phoneticPr fontId="2" type="noConversion"/>
  </si>
  <si>
    <t>위치</t>
    <phoneticPr fontId="2" type="noConversion"/>
  </si>
  <si>
    <t>잉크명</t>
    <phoneticPr fontId="2" type="noConversion"/>
  </si>
  <si>
    <t>PL-835-1</t>
    <phoneticPr fontId="2" type="noConversion"/>
  </si>
  <si>
    <t>PL-150-2</t>
    <phoneticPr fontId="2" type="noConversion"/>
  </si>
  <si>
    <t>PL-135</t>
    <phoneticPr fontId="2" type="noConversion"/>
  </si>
  <si>
    <t>PL-580-2</t>
    <phoneticPr fontId="2" type="noConversion"/>
  </si>
  <si>
    <t>PL-345-3</t>
    <phoneticPr fontId="2" type="noConversion"/>
  </si>
  <si>
    <t>PL-700-2</t>
    <phoneticPr fontId="2" type="noConversion"/>
  </si>
  <si>
    <t>PL-735</t>
    <phoneticPr fontId="2" type="noConversion"/>
  </si>
  <si>
    <t>TOTAL</t>
    <phoneticPr fontId="2" type="noConversion"/>
  </si>
  <si>
    <t>BINDER(PCB)</t>
    <phoneticPr fontId="6" type="noConversion"/>
  </si>
  <si>
    <t>분산제</t>
    <phoneticPr fontId="2" type="noConversion"/>
  </si>
  <si>
    <t>안료량</t>
    <phoneticPr fontId="2" type="noConversion"/>
  </si>
  <si>
    <t>APB</t>
    <phoneticPr fontId="2" type="noConversion"/>
  </si>
  <si>
    <t>Glycerol</t>
    <phoneticPr fontId="2" type="noConversion"/>
  </si>
  <si>
    <t>1도</t>
    <phoneticPr fontId="2" type="noConversion"/>
  </si>
  <si>
    <t>2도</t>
  </si>
  <si>
    <t>3도</t>
  </si>
  <si>
    <t>TEST-1(PL)</t>
    <phoneticPr fontId="2" type="noConversion"/>
  </si>
  <si>
    <t>LISSE(PL)</t>
    <phoneticPr fontId="2" type="noConversion"/>
  </si>
  <si>
    <t>NOISETTE(PL)</t>
    <phoneticPr fontId="2" type="noConversion"/>
  </si>
  <si>
    <t>55% Pia 축고정 제안용 샘플(C관)</t>
    <phoneticPr fontId="2" type="noConversion"/>
  </si>
  <si>
    <t>2026.01.19</t>
    <phoneticPr fontId="2" type="noConversion"/>
  </si>
  <si>
    <t>Star Glow A
14.5 축고정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</si>
</sst>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"/>
  </numFmts>
  <fonts count="8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E3AB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BD8F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3" fillId="10" borderId="1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2" fontId="7" fillId="1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2" fontId="3" fillId="1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P6"/>
  <sheetViews>
    <sheetView tabSelected="1" zoomScale="85" zoomScaleNormal="85" workbookViewId="0">
      <selection activeCell="U9" sqref="U9"/>
    </sheetView>
  </sheetViews>
  <sheetFormatPr defaultRowHeight="16.5" x14ac:dyDescent="0.3"/>
  <cols>
    <col min="1" max="1" width="11.75" customWidth="1"/>
    <col min="2" max="2" width="6.75" customWidth="1"/>
    <col min="3" max="3" width="13.25" customWidth="1"/>
    <col min="4" max="10" width="10.625" customWidth="1"/>
    <col min="11" max="14" width="10.625" hidden="1" customWidth="1"/>
    <col min="15" max="16" width="10.625" customWidth="1"/>
  </cols>
  <sheetData>
    <row r="1" spans="1:16" ht="26.25" x14ac:dyDescent="0.3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">
      <c r="O2" s="23" t="s">
        <v>23</v>
      </c>
      <c r="P2" s="23"/>
    </row>
    <row r="3" spans="1:16" ht="30" customHeight="1" x14ac:dyDescent="0.3">
      <c r="A3" s="1" t="s">
        <v>0</v>
      </c>
      <c r="B3" s="1" t="s">
        <v>1</v>
      </c>
      <c r="C3" s="2" t="s">
        <v>2</v>
      </c>
      <c r="D3" s="3" t="s">
        <v>3</v>
      </c>
      <c r="E3" s="4" t="s">
        <v>4</v>
      </c>
      <c r="F3" s="5" t="s">
        <v>5</v>
      </c>
      <c r="G3" s="6" t="s">
        <v>6</v>
      </c>
      <c r="H3" s="7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1" t="s">
        <v>13</v>
      </c>
      <c r="O3" s="8" t="s">
        <v>14</v>
      </c>
      <c r="P3" s="8" t="s">
        <v>15</v>
      </c>
    </row>
    <row r="4" spans="1:16" ht="30" customHeight="1" x14ac:dyDescent="0.3">
      <c r="A4" s="22" t="s">
        <v>24</v>
      </c>
      <c r="B4" s="1" t="s">
        <v>16</v>
      </c>
      <c r="C4" s="13" t="s">
        <v>20</v>
      </c>
      <c r="D4" s="9">
        <v>45</v>
      </c>
      <c r="E4" s="9">
        <v>58</v>
      </c>
      <c r="F4" s="9">
        <v>0</v>
      </c>
      <c r="G4" s="9">
        <v>22</v>
      </c>
      <c r="H4" s="9">
        <v>42.3</v>
      </c>
      <c r="I4" s="9">
        <v>16</v>
      </c>
      <c r="J4" s="9">
        <v>0</v>
      </c>
      <c r="K4" s="10">
        <f t="shared" ref="K4" si="0">SUM(D4:J4)</f>
        <v>183.3</v>
      </c>
      <c r="L4" s="11">
        <f t="shared" ref="L4:L6" si="1">(D4*0.75)+(E4*0.8)+(F4*0.75)+(G4*0.75)+(H4*0.77)+(I4*0.57)+(J4*0.5)</f>
        <v>138.34100000000001</v>
      </c>
      <c r="M4" s="11">
        <f t="shared" ref="M4:M6" si="2">(D4*0.1)+(E4*0.05)+(F4*0.1)+(G4*0.05)+(H4*0.1)+(I4*0.03)+(J4*0.05)</f>
        <v>13.21</v>
      </c>
      <c r="N4" s="12">
        <f t="shared" ref="N4:N6" si="3">K4-L4-M4</f>
        <v>31.749000000000002</v>
      </c>
      <c r="O4" s="18">
        <f t="shared" ref="O4:O6" si="4">(L4*0.15)+(N4*0.1)</f>
        <v>23.92605</v>
      </c>
      <c r="P4" s="19">
        <f>K4*0.05</f>
        <v>9.1650000000000009</v>
      </c>
    </row>
    <row r="5" spans="1:16" ht="30" customHeight="1" x14ac:dyDescent="0.3">
      <c r="A5" s="22"/>
      <c r="B5" s="1" t="s">
        <v>17</v>
      </c>
      <c r="C5" s="14" t="s">
        <v>21</v>
      </c>
      <c r="D5" s="20">
        <v>1.8</v>
      </c>
      <c r="E5" s="20">
        <v>6</v>
      </c>
      <c r="F5" s="20">
        <v>3.6</v>
      </c>
      <c r="G5" s="20">
        <v>0</v>
      </c>
      <c r="H5" s="20">
        <v>25</v>
      </c>
      <c r="I5" s="20">
        <v>140.5</v>
      </c>
      <c r="J5" s="20">
        <v>1</v>
      </c>
      <c r="K5" s="10">
        <f t="shared" ref="K5" si="5">SUM(D5:J5)</f>
        <v>177.9</v>
      </c>
      <c r="L5" s="11">
        <f t="shared" si="1"/>
        <v>108.685</v>
      </c>
      <c r="M5" s="11">
        <f t="shared" si="2"/>
        <v>7.6049999999999995</v>
      </c>
      <c r="N5" s="12">
        <f t="shared" si="3"/>
        <v>61.610000000000007</v>
      </c>
      <c r="O5" s="18">
        <f t="shared" si="4"/>
        <v>22.463750000000001</v>
      </c>
      <c r="P5" s="19">
        <f>K5*0.05</f>
        <v>8.8950000000000014</v>
      </c>
    </row>
    <row r="6" spans="1:16" ht="30" customHeight="1" x14ac:dyDescent="0.3">
      <c r="A6" s="22"/>
      <c r="B6" s="1" t="s">
        <v>18</v>
      </c>
      <c r="C6" s="16" t="s">
        <v>19</v>
      </c>
      <c r="D6" s="17">
        <v>40</v>
      </c>
      <c r="E6" s="17">
        <f>70*0.9</f>
        <v>63</v>
      </c>
      <c r="F6" s="15">
        <v>0</v>
      </c>
      <c r="G6" s="15">
        <v>16.5</v>
      </c>
      <c r="H6" s="15">
        <v>48.5</v>
      </c>
      <c r="I6" s="15">
        <v>8</v>
      </c>
      <c r="J6" s="15">
        <v>0</v>
      </c>
      <c r="K6" s="10">
        <f t="shared" ref="K6" si="6">SUM(D6:J6)</f>
        <v>176</v>
      </c>
      <c r="L6" s="11">
        <f t="shared" si="1"/>
        <v>134.68</v>
      </c>
      <c r="M6" s="11">
        <f t="shared" si="2"/>
        <v>13.065000000000001</v>
      </c>
      <c r="N6" s="12">
        <f t="shared" si="3"/>
        <v>28.254999999999992</v>
      </c>
      <c r="O6" s="18">
        <f t="shared" si="4"/>
        <v>23.0275</v>
      </c>
      <c r="P6" s="19">
        <f>K6*0.05</f>
        <v>8.8000000000000007</v>
      </c>
    </row>
  </sheetData>
  <mergeCells count="3">
    <mergeCell ref="A1:P1"/>
    <mergeCell ref="A4:A6"/>
    <mergeCell ref="O2:P2"/>
  </mergeCells>
  <phoneticPr fontId="2" type="noConversion"/>
  <pageMargins left="0" right="0" top="0.74803149606299213" bottom="0.7480314960629921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신규 샘플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김진우</dc:creator>
  <cp:lastModifiedBy>Interojo</cp:lastModifiedBy>
  <dcterms:created xsi:type="dcterms:W3CDTF">2026-01-19T07:17:59Z</dcterms:created>
  <dcterms:modified xsi:type="dcterms:W3CDTF">2026-03-30T00:12:17Z</dcterms:modified>
</cp:coreProperties>
</file>